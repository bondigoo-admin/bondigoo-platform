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o.NB188\Desktop\Coaching-platform\"/>
    </mc:Choice>
  </mc:AlternateContent>
  <xr:revisionPtr revIDLastSave="0" documentId="8_{0AB1FD38-37B1-47D2-9F32-DE4F586AA562}" xr6:coauthVersionLast="47" xr6:coauthVersionMax="47" xr10:uidLastSave="{00000000-0000-0000-0000-000000000000}"/>
  <bookViews>
    <workbookView xWindow="-108" yWindow="-108" windowWidth="23256" windowHeight="14016" activeTab="1" xr2:uid="{0D8AD2A0-99C2-4548-8536-A986449A99D9}"/>
  </bookViews>
  <sheets>
    <sheet name="Assumptions" sheetId="1" r:id="rId1"/>
    <sheet name="Monatsmodell" sheetId="2" r:id="rId2"/>
    <sheet name="Jahresmode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B11" i="3"/>
  <c r="B2" i="3"/>
  <c r="C2" i="3"/>
  <c r="B3" i="3"/>
  <c r="B4" i="3"/>
  <c r="C4" i="3"/>
  <c r="B5" i="3"/>
  <c r="C5" i="3"/>
  <c r="B6" i="3"/>
  <c r="C6" i="3"/>
  <c r="B7" i="3"/>
  <c r="C7" i="3"/>
  <c r="B8" i="3"/>
  <c r="C8" i="3"/>
  <c r="B9" i="3"/>
  <c r="C9" i="3"/>
  <c r="C11" i="3" s="1"/>
  <c r="C10" i="3"/>
  <c r="C2" i="2"/>
  <c r="B4" i="2"/>
  <c r="B5" i="2"/>
  <c r="B6" i="2" s="1"/>
  <c r="B8" i="2" s="1"/>
  <c r="C5" i="2"/>
  <c r="C6" i="2" s="1"/>
  <c r="B7" i="2"/>
  <c r="B10" i="2"/>
  <c r="C10" i="2"/>
  <c r="B13" i="2"/>
  <c r="C13" i="2"/>
  <c r="B16" i="2"/>
  <c r="C16" i="2"/>
  <c r="B10" i="3" l="1"/>
  <c r="C4" i="2"/>
  <c r="B14" i="2"/>
  <c r="B15" i="2" s="1"/>
  <c r="B17" i="2"/>
  <c r="B18" i="2" s="1"/>
  <c r="B11" i="2"/>
  <c r="B22" i="2" l="1"/>
  <c r="B24" i="2" s="1"/>
  <c r="B12" i="2"/>
  <c r="B19" i="2" s="1"/>
  <c r="C7" i="2"/>
  <c r="C8" i="2"/>
  <c r="C17" i="2" l="1"/>
  <c r="C18" i="2" s="1"/>
  <c r="C11" i="2"/>
  <c r="C14" i="2"/>
  <c r="C15" i="2" s="1"/>
  <c r="B23" i="2"/>
  <c r="B25" i="2" s="1"/>
  <c r="B21" i="2"/>
  <c r="B26" i="2" s="1"/>
  <c r="C12" i="2" l="1"/>
  <c r="C19" i="2" s="1"/>
  <c r="C22" i="2"/>
  <c r="C24" i="2" s="1"/>
  <c r="C21" i="2" l="1"/>
  <c r="C23" i="2"/>
  <c r="C25" i="2" s="1"/>
  <c r="C26" i="2" l="1"/>
</calcChain>
</file>

<file path=xl/sharedStrings.xml><?xml version="1.0" encoding="utf-8"?>
<sst xmlns="http://schemas.openxmlformats.org/spreadsheetml/2006/main" count="105" uniqueCount="77">
  <si>
    <t>Category</t>
  </si>
  <si>
    <t>Metric</t>
  </si>
  <si>
    <t>Value</t>
  </si>
  <si>
    <t>Notes</t>
  </si>
  <si>
    <t>Coach Acquisition</t>
  </si>
  <si>
    <t>Founder's Circle (Initial)</t>
  </si>
  <si>
    <t>Your GTM target for Nov/Dec 2024.</t>
  </si>
  <si>
    <t>New Signups (Months 1-3)</t>
  </si>
  <si>
    <t>Per month. Driven by initial launch marketing.</t>
  </si>
  <si>
    <t>New Signups (Months 4-6)</t>
  </si>
  <si>
    <t>Per month. Content marketing &amp; SEO begin to contribute.</t>
  </si>
  <si>
    <t>New Signups (Months 7-12)</t>
  </si>
  <si>
    <t>Per month. Word of mouth and early paid ads.</t>
  </si>
  <si>
    <t>New Signups (Year 2)</t>
  </si>
  <si>
    <t>Per month. Established brand presence.</t>
  </si>
  <si>
    <t>Coach Activation Rate</t>
  </si>
  <si>
    <t>Percentage of new signups who publish a service and connect Stripe.</t>
  </si>
  <si>
    <t>Monthly Coach Churn Rate</t>
  </si>
  <si>
    <t>Natural churn of inactive or unsuccessful coaches.</t>
  </si>
  <si>
    <t>Activity per Coach</t>
  </si>
  <si>
    <t>Scheduled Sessions/Mo (Months 1-3)</t>
  </si>
  <si>
    <t>Per active coach. Primarily their existing clients.</t>
  </si>
  <si>
    <t>Scheduled Sessions/Mo (Months 4-12)</t>
  </si>
  <si>
    <t>Scheduled Sessions/Mo (Year 2)</t>
  </si>
  <si>
    <t>Live Session Mins/Mo (Months 1-3)</t>
  </si>
  <si>
    <t>Per active coach. Early adoption of the feature.</t>
  </si>
  <si>
    <t>Live Session Mins/Mo (Months 4-12)</t>
  </si>
  <si>
    <t>Live Session Mins/Mo (Year 2)</t>
  </si>
  <si>
    <t>Programs Sold/Mo (Months 1-3)</t>
  </si>
  <si>
    <t>Per active coach. Low price point makes it an easy initial sale.</t>
  </si>
  <si>
    <t>Programs Sold/Mo (Months 4-12)</t>
  </si>
  <si>
    <t>Programs Sold/Mo (Year 2)</t>
  </si>
  <si>
    <t>Financials</t>
  </si>
  <si>
    <t>Avg. Scheduled Session Price</t>
  </si>
  <si>
    <t>In CHF.</t>
  </si>
  <si>
    <t>Avg. Live Session Price per Minute</t>
  </si>
  <si>
    <t>Avg. Program Price</t>
  </si>
  <si>
    <t>Platform Take Rate</t>
  </si>
  <si>
    <t>Your commission on GMV.</t>
  </si>
  <si>
    <t>Stripe Variable Fee</t>
  </si>
  <si>
    <t>Standard assumption for Stripe processing.</t>
  </si>
  <si>
    <t>Stripe Fixed Fee</t>
  </si>
  <si>
    <t>In CHF, per transaction.</t>
  </si>
  <si>
    <t>Month Number</t>
  </si>
  <si>
    <t>Coach Funnel</t>
  </si>
  <si>
    <t>Opening Active Coaches</t>
  </si>
  <si>
    <t>New Coach Signups</t>
  </si>
  <si>
    <t>New Activated Coaches</t>
  </si>
  <si>
    <t>Churned Coaches</t>
  </si>
  <si>
    <t>Closing Active Coaches</t>
  </si>
  <si>
    <t>Gross Merchandise Volume (GMV)</t>
  </si>
  <si>
    <t>Sessions/Mo/Coach (Assumption)</t>
  </si>
  <si>
    <t>Total Scheduled Sessions</t>
  </si>
  <si>
    <t>GMV from Scheduled Sessions</t>
  </si>
  <si>
    <t>Live Mins/Mo/Coach (Assumption)</t>
  </si>
  <si>
    <t>Total Live Session Minutes</t>
  </si>
  <si>
    <t>GMV from Live Sessions</t>
  </si>
  <si>
    <t>Programs Sold/Mo/Coach (Assumption)</t>
  </si>
  <si>
    <t>Total Programs Sold</t>
  </si>
  <si>
    <t>GMV from Programs</t>
  </si>
  <si>
    <t>Total GMV</t>
  </si>
  <si>
    <t>Revenue &amp; Costs</t>
  </si>
  <si>
    <t>Gross Platform Revenue</t>
  </si>
  <si>
    <t>Total Transactions</t>
  </si>
  <si>
    <t>Stripe Variable Cost</t>
  </si>
  <si>
    <t>Stripe Fixed Cost</t>
  </si>
  <si>
    <t>Total Payment Processing Cost</t>
  </si>
  <si>
    <t>Net Platform Revenue</t>
  </si>
  <si>
    <t>Month 1</t>
  </si>
  <si>
    <t>Month 2</t>
  </si>
  <si>
    <t>Year 1 Projection (Formulas)</t>
  </si>
  <si>
    <t>Year 2 Projection (Formulas)</t>
  </si>
  <si>
    <t>Ending Active Coaches</t>
  </si>
  <si>
    <t>Payment Processing Costs</t>
  </si>
  <si>
    <t>Avg. Monthly Net Revenue</t>
  </si>
  <si>
    <t>Avg. Revenue per Active Coach (ARPU)</t>
  </si>
  <si>
    <t>GMV from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</si>
</sst>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F4706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AF91-C7DB-4959-98E4-C83B9A156128}">
  <dimension ref="A1:D23"/>
  <sheetViews>
    <sheetView workbookViewId="0">
      <selection activeCell="F15" sqref="F15"/>
    </sheetView>
  </sheetViews>
  <sheetFormatPr baseColWidth="10" defaultRowHeight="14.4" x14ac:dyDescent="0.3"/>
  <cols>
    <col min="1" max="1" width="15.44140625" bestFit="1" customWidth="1"/>
    <col min="2" max="2" width="31.77734375" bestFit="1" customWidth="1"/>
    <col min="3" max="3" width="6" bestFit="1" customWidth="1"/>
    <col min="4" max="4" width="56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>
        <v>20</v>
      </c>
      <c r="D2" s="3" t="s">
        <v>6</v>
      </c>
    </row>
    <row r="3" spans="1:4" x14ac:dyDescent="0.3">
      <c r="A3" s="3" t="s">
        <v>4</v>
      </c>
      <c r="B3" s="3" t="s">
        <v>7</v>
      </c>
      <c r="C3" s="3">
        <v>15</v>
      </c>
      <c r="D3" s="3" t="s">
        <v>8</v>
      </c>
    </row>
    <row r="4" spans="1:4" x14ac:dyDescent="0.3">
      <c r="A4" s="3" t="s">
        <v>4</v>
      </c>
      <c r="B4" s="3" t="s">
        <v>9</v>
      </c>
      <c r="C4" s="3">
        <v>20</v>
      </c>
      <c r="D4" s="3" t="s">
        <v>10</v>
      </c>
    </row>
    <row r="5" spans="1:4" x14ac:dyDescent="0.3">
      <c r="A5" s="3" t="s">
        <v>4</v>
      </c>
      <c r="B5" s="3" t="s">
        <v>11</v>
      </c>
      <c r="C5" s="3">
        <v>30</v>
      </c>
      <c r="D5" s="3" t="s">
        <v>12</v>
      </c>
    </row>
    <row r="6" spans="1:4" x14ac:dyDescent="0.3">
      <c r="A6" s="3" t="s">
        <v>4</v>
      </c>
      <c r="B6" s="3" t="s">
        <v>13</v>
      </c>
      <c r="C6" s="3">
        <v>40</v>
      </c>
      <c r="D6" s="3" t="s">
        <v>14</v>
      </c>
    </row>
    <row r="7" spans="1:4" x14ac:dyDescent="0.3">
      <c r="A7" s="3" t="s">
        <v>4</v>
      </c>
      <c r="B7" s="3" t="s">
        <v>15</v>
      </c>
      <c r="C7" s="3">
        <v>0.6</v>
      </c>
      <c r="D7" s="3" t="s">
        <v>16</v>
      </c>
    </row>
    <row r="8" spans="1:4" x14ac:dyDescent="0.3">
      <c r="A8" s="3" t="s">
        <v>4</v>
      </c>
      <c r="B8" s="3" t="s">
        <v>17</v>
      </c>
      <c r="C8" s="3">
        <v>0.03</v>
      </c>
      <c r="D8" s="3" t="s">
        <v>18</v>
      </c>
    </row>
    <row r="9" spans="1:4" x14ac:dyDescent="0.3">
      <c r="A9" s="3" t="s">
        <v>19</v>
      </c>
      <c r="B9" s="3" t="s">
        <v>20</v>
      </c>
      <c r="C9" s="3">
        <v>1.5</v>
      </c>
      <c r="D9" s="3" t="s">
        <v>21</v>
      </c>
    </row>
    <row r="10" spans="1:4" x14ac:dyDescent="0.3">
      <c r="A10" s="3" t="s">
        <v>19</v>
      </c>
      <c r="B10" s="3" t="s">
        <v>22</v>
      </c>
      <c r="C10" s="3">
        <v>3</v>
      </c>
      <c r="D10" s="3"/>
    </row>
    <row r="11" spans="1:4" x14ac:dyDescent="0.3">
      <c r="A11" s="3" t="s">
        <v>19</v>
      </c>
      <c r="B11" s="3" t="s">
        <v>23</v>
      </c>
      <c r="C11" s="3">
        <v>4</v>
      </c>
      <c r="D11" s="3"/>
    </row>
    <row r="12" spans="1:4" x14ac:dyDescent="0.3">
      <c r="A12" s="3" t="s">
        <v>19</v>
      </c>
      <c r="B12" s="3" t="s">
        <v>24</v>
      </c>
      <c r="C12" s="3">
        <v>20</v>
      </c>
      <c r="D12" s="3" t="s">
        <v>25</v>
      </c>
    </row>
    <row r="13" spans="1:4" x14ac:dyDescent="0.3">
      <c r="A13" s="3" t="s">
        <v>19</v>
      </c>
      <c r="B13" s="3" t="s">
        <v>26</v>
      </c>
      <c r="C13" s="3">
        <v>45</v>
      </c>
      <c r="D13" s="3"/>
    </row>
    <row r="14" spans="1:4" x14ac:dyDescent="0.3">
      <c r="A14" s="3" t="s">
        <v>19</v>
      </c>
      <c r="B14" s="3" t="s">
        <v>27</v>
      </c>
      <c r="C14" s="3">
        <v>60</v>
      </c>
      <c r="D14" s="3"/>
    </row>
    <row r="15" spans="1:4" x14ac:dyDescent="0.3">
      <c r="A15" s="3" t="s">
        <v>19</v>
      </c>
      <c r="B15" s="3" t="s">
        <v>28</v>
      </c>
      <c r="C15" s="3">
        <v>2</v>
      </c>
      <c r="D15" s="3" t="s">
        <v>29</v>
      </c>
    </row>
    <row r="16" spans="1:4" x14ac:dyDescent="0.3">
      <c r="A16" s="3" t="s">
        <v>19</v>
      </c>
      <c r="B16" s="3" t="s">
        <v>30</v>
      </c>
      <c r="C16" s="3">
        <v>5</v>
      </c>
      <c r="D16" s="3"/>
    </row>
    <row r="17" spans="1:4" x14ac:dyDescent="0.3">
      <c r="A17" s="3" t="s">
        <v>19</v>
      </c>
      <c r="B17" s="3" t="s">
        <v>31</v>
      </c>
      <c r="C17" s="3">
        <v>8</v>
      </c>
      <c r="D17" s="3"/>
    </row>
    <row r="18" spans="1:4" x14ac:dyDescent="0.3">
      <c r="A18" s="3" t="s">
        <v>32</v>
      </c>
      <c r="B18" s="3" t="s">
        <v>33</v>
      </c>
      <c r="C18" s="3">
        <v>100</v>
      </c>
      <c r="D18" s="3" t="s">
        <v>34</v>
      </c>
    </row>
    <row r="19" spans="1:4" x14ac:dyDescent="0.3">
      <c r="A19" s="3" t="s">
        <v>32</v>
      </c>
      <c r="B19" s="3" t="s">
        <v>35</v>
      </c>
      <c r="C19" s="3">
        <v>2</v>
      </c>
      <c r="D19" s="3" t="s">
        <v>34</v>
      </c>
    </row>
    <row r="20" spans="1:4" x14ac:dyDescent="0.3">
      <c r="A20" s="3" t="s">
        <v>32</v>
      </c>
      <c r="B20" s="3" t="s">
        <v>36</v>
      </c>
      <c r="C20" s="3">
        <v>30</v>
      </c>
      <c r="D20" s="3" t="s">
        <v>34</v>
      </c>
    </row>
    <row r="21" spans="1:4" x14ac:dyDescent="0.3">
      <c r="A21" s="3" t="s">
        <v>32</v>
      </c>
      <c r="B21" s="3" t="s">
        <v>37</v>
      </c>
      <c r="C21" s="3">
        <v>9.9000000000000005E-2</v>
      </c>
      <c r="D21" s="3" t="s">
        <v>38</v>
      </c>
    </row>
    <row r="22" spans="1:4" x14ac:dyDescent="0.3">
      <c r="A22" s="3" t="s">
        <v>32</v>
      </c>
      <c r="B22" s="3" t="s">
        <v>39</v>
      </c>
      <c r="C22" s="3">
        <v>2.9000000000000001E-2</v>
      </c>
      <c r="D22" s="3" t="s">
        <v>40</v>
      </c>
    </row>
    <row r="23" spans="1:4" x14ac:dyDescent="0.3">
      <c r="A23" s="3" t="s">
        <v>32</v>
      </c>
      <c r="B23" s="3" t="s">
        <v>41</v>
      </c>
      <c r="C23" s="3">
        <v>0.3</v>
      </c>
      <c r="D23" s="3" t="s">
        <v>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70A0-D354-4705-B0B5-E5B2145EA60B}">
  <dimension ref="A1:C26"/>
  <sheetViews>
    <sheetView tabSelected="1" workbookViewId="0">
      <selection activeCell="F15" sqref="F15"/>
    </sheetView>
  </sheetViews>
  <sheetFormatPr baseColWidth="10" defaultRowHeight="14.4" x14ac:dyDescent="0.3"/>
  <cols>
    <col min="1" max="1" width="32.88671875" bestFit="1" customWidth="1"/>
    <col min="2" max="3" width="8.109375" bestFit="1" customWidth="1"/>
  </cols>
  <sheetData>
    <row r="1" spans="1:3" x14ac:dyDescent="0.3">
      <c r="A1" s="4" t="s">
        <v>1</v>
      </c>
      <c r="B1" s="1" t="s">
        <v>68</v>
      </c>
      <c r="C1" s="1" t="s">
        <v>69</v>
      </c>
    </row>
    <row r="2" spans="1:3" x14ac:dyDescent="0.3">
      <c r="A2" t="s">
        <v>43</v>
      </c>
      <c r="B2">
        <v>1</v>
      </c>
      <c r="C2">
        <f>B2+1</f>
        <v>2</v>
      </c>
    </row>
    <row r="3" spans="1:3" x14ac:dyDescent="0.3">
      <c r="A3" s="1" t="s">
        <v>44</v>
      </c>
    </row>
    <row r="4" spans="1:3" x14ac:dyDescent="0.3">
      <c r="A4" t="s">
        <v>45</v>
      </c>
      <c r="B4">
        <f>Assumptions!C2</f>
        <v>20</v>
      </c>
      <c r="C4">
        <f>B8</f>
        <v>28</v>
      </c>
    </row>
    <row r="5" spans="1:3" x14ac:dyDescent="0.3">
      <c r="A5" t="s">
        <v>46</v>
      </c>
      <c r="B5">
        <f>Assumptions!C3</f>
        <v>15</v>
      </c>
      <c r="C5">
        <f>IF(C2&lt;=3,Assumptions!C3,IF(C2&lt;=6,Assumptions!C4,IF(C2&lt;=12,Assumptions!C5,Assumptions!C6)))</f>
        <v>15</v>
      </c>
    </row>
    <row r="6" spans="1:3" x14ac:dyDescent="0.3">
      <c r="A6" t="s">
        <v>47</v>
      </c>
      <c r="B6">
        <f>ROUND(B5*Assumptions!C7,0)</f>
        <v>9</v>
      </c>
      <c r="C6">
        <f>ROUND(C5*Assumptions!C7,0)</f>
        <v>9</v>
      </c>
    </row>
    <row r="7" spans="1:3" x14ac:dyDescent="0.3">
      <c r="A7" t="s">
        <v>48</v>
      </c>
      <c r="B7">
        <f>ROUND(B4*Assumptions!C8,0)</f>
        <v>1</v>
      </c>
      <c r="C7">
        <f>ROUND(C4*Assumptions!C8,0)</f>
        <v>1</v>
      </c>
    </row>
    <row r="8" spans="1:3" x14ac:dyDescent="0.3">
      <c r="A8" t="s">
        <v>49</v>
      </c>
      <c r="B8">
        <f>B4+B6-B7</f>
        <v>28</v>
      </c>
      <c r="C8">
        <f>C4+C6-C7</f>
        <v>36</v>
      </c>
    </row>
    <row r="9" spans="1:3" x14ac:dyDescent="0.3">
      <c r="A9" s="1" t="s">
        <v>50</v>
      </c>
    </row>
    <row r="10" spans="1:3" x14ac:dyDescent="0.3">
      <c r="A10" t="s">
        <v>51</v>
      </c>
      <c r="B10">
        <f>Assumptions!C9</f>
        <v>1.5</v>
      </c>
      <c r="C10">
        <f>IF(C2&lt;=3,Assumptions!C9,IF(C2&lt;=12,Assumptions!C10,Assumptions!C11))</f>
        <v>1.5</v>
      </c>
    </row>
    <row r="11" spans="1:3" x14ac:dyDescent="0.3">
      <c r="A11" t="s">
        <v>52</v>
      </c>
      <c r="B11">
        <f>B8*B10</f>
        <v>42</v>
      </c>
      <c r="C11">
        <f>C8*C10</f>
        <v>54</v>
      </c>
    </row>
    <row r="12" spans="1:3" x14ac:dyDescent="0.3">
      <c r="A12" t="s">
        <v>53</v>
      </c>
      <c r="B12">
        <f>B11*Assumptions!C18</f>
        <v>4200</v>
      </c>
      <c r="C12">
        <f>C11*Assumptions!C18</f>
        <v>5400</v>
      </c>
    </row>
    <row r="13" spans="1:3" x14ac:dyDescent="0.3">
      <c r="A13" t="s">
        <v>54</v>
      </c>
      <c r="B13">
        <f>Assumptions!C12</f>
        <v>20</v>
      </c>
      <c r="C13">
        <f>IF(C2&lt;=3,Assumptions!C12,IF(C2&lt;=12,Assumptions!C13,Assumptions!C14))</f>
        <v>20</v>
      </c>
    </row>
    <row r="14" spans="1:3" x14ac:dyDescent="0.3">
      <c r="A14" t="s">
        <v>55</v>
      </c>
      <c r="B14">
        <f>B8*B13</f>
        <v>560</v>
      </c>
      <c r="C14">
        <f>C8*C13</f>
        <v>720</v>
      </c>
    </row>
    <row r="15" spans="1:3" x14ac:dyDescent="0.3">
      <c r="A15" t="s">
        <v>56</v>
      </c>
      <c r="B15">
        <f>B14*Assumptions!C19</f>
        <v>1120</v>
      </c>
      <c r="C15">
        <f>C14*Assumptions!C19</f>
        <v>1440</v>
      </c>
    </row>
    <row r="16" spans="1:3" x14ac:dyDescent="0.3">
      <c r="A16" t="s">
        <v>57</v>
      </c>
      <c r="B16">
        <f>Assumptions!C15</f>
        <v>2</v>
      </c>
      <c r="C16">
        <f>IF(C2&lt;=3,Assumptions!C15,IF(C2&lt;=12,Assumptions!C16,Assumptions!C17))</f>
        <v>2</v>
      </c>
    </row>
    <row r="17" spans="1:3" x14ac:dyDescent="0.3">
      <c r="A17" t="s">
        <v>58</v>
      </c>
      <c r="B17">
        <f>B8*B16</f>
        <v>56</v>
      </c>
      <c r="C17">
        <f>C8*B16</f>
        <v>72</v>
      </c>
    </row>
    <row r="18" spans="1:3" x14ac:dyDescent="0.3">
      <c r="A18" t="s">
        <v>59</v>
      </c>
      <c r="B18">
        <f>B17*Assumptions!C20</f>
        <v>1680</v>
      </c>
      <c r="C18">
        <f>C17*Assumptions!C20</f>
        <v>2160</v>
      </c>
    </row>
    <row r="19" spans="1:3" x14ac:dyDescent="0.3">
      <c r="A19" t="s">
        <v>60</v>
      </c>
      <c r="B19">
        <f>B12+B15+B18</f>
        <v>7000</v>
      </c>
      <c r="C19">
        <f>C12+C15+C18</f>
        <v>9000</v>
      </c>
    </row>
    <row r="20" spans="1:3" x14ac:dyDescent="0.3">
      <c r="A20" s="1" t="s">
        <v>61</v>
      </c>
    </row>
    <row r="21" spans="1:3" x14ac:dyDescent="0.3">
      <c r="A21" t="s">
        <v>62</v>
      </c>
      <c r="B21">
        <f>B19*Assumptions!C21</f>
        <v>693</v>
      </c>
      <c r="C21">
        <f>C19*Assumptions!C21</f>
        <v>891</v>
      </c>
    </row>
    <row r="22" spans="1:3" x14ac:dyDescent="0.3">
      <c r="A22" t="s">
        <v>63</v>
      </c>
      <c r="B22">
        <f>B11+ROUNDUP(B14/30,0)+B17</f>
        <v>117</v>
      </c>
      <c r="C22">
        <f>C11+ROUNDUP(C14/30,0)+C17</f>
        <v>150</v>
      </c>
    </row>
    <row r="23" spans="1:3" x14ac:dyDescent="0.3">
      <c r="A23" t="s">
        <v>64</v>
      </c>
      <c r="B23">
        <f>B19*Assumptions!C22</f>
        <v>203</v>
      </c>
      <c r="C23">
        <f>C19*Assumptions!C22</f>
        <v>261</v>
      </c>
    </row>
    <row r="24" spans="1:3" x14ac:dyDescent="0.3">
      <c r="A24" t="s">
        <v>65</v>
      </c>
      <c r="B24">
        <f>B22*Assumptions!C23</f>
        <v>35.1</v>
      </c>
      <c r="C24">
        <f>C22*Assumptions!C23</f>
        <v>45</v>
      </c>
    </row>
    <row r="25" spans="1:3" x14ac:dyDescent="0.3">
      <c r="A25" t="s">
        <v>66</v>
      </c>
      <c r="B25">
        <f>B23+B24</f>
        <v>238.1</v>
      </c>
      <c r="C25">
        <f>C23+C24</f>
        <v>306</v>
      </c>
    </row>
    <row r="26" spans="1:3" x14ac:dyDescent="0.3">
      <c r="A26" t="s">
        <v>67</v>
      </c>
      <c r="B26">
        <f>B21-B25</f>
        <v>454.9</v>
      </c>
      <c r="C26">
        <f>C21-C25</f>
        <v>585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A4D9-7836-4304-BDE9-10B41122ECA4}">
  <dimension ref="A1:C11"/>
  <sheetViews>
    <sheetView workbookViewId="0">
      <selection activeCell="C4" sqref="C4"/>
    </sheetView>
  </sheetViews>
  <sheetFormatPr baseColWidth="10" defaultRowHeight="14.4" x14ac:dyDescent="0.3"/>
  <cols>
    <col min="1" max="1" width="31.77734375" bestFit="1" customWidth="1"/>
    <col min="2" max="3" width="23.77734375" bestFit="1" customWidth="1"/>
  </cols>
  <sheetData>
    <row r="1" spans="1:3" x14ac:dyDescent="0.3">
      <c r="A1" t="s">
        <v>1</v>
      </c>
      <c r="B1" t="s">
        <v>70</v>
      </c>
      <c r="C1" t="s">
        <v>71</v>
      </c>
    </row>
    <row r="2" spans="1:3" x14ac:dyDescent="0.3">
      <c r="A2" t="s">
        <v>72</v>
      </c>
      <c r="B2">
        <f>Monatsmodell!M8</f>
        <v>0</v>
      </c>
      <c r="C2">
        <f>Monatsmodell!Y8</f>
        <v>0</v>
      </c>
    </row>
    <row r="3" spans="1:3" x14ac:dyDescent="0.3">
      <c r="A3" t="s">
        <v>60</v>
      </c>
      <c r="B3">
        <f>SUM(Monatsmodell!B19:M19)</f>
        <v>16000</v>
      </c>
      <c r="C3">
        <f>SUM(Monatsmodell!N19:Y19)</f>
        <v>0</v>
      </c>
    </row>
    <row r="4" spans="1:3" x14ac:dyDescent="0.3">
      <c r="A4" t="s">
        <v>76</v>
      </c>
      <c r="B4">
        <f>SUM(Monatsmodell!B12:M12)</f>
        <v>9600</v>
      </c>
      <c r="C4">
        <f>SUM(Monatsmodell!N12:Y12)</f>
        <v>0</v>
      </c>
    </row>
    <row r="5" spans="1:3" x14ac:dyDescent="0.3">
      <c r="A5" t="s">
        <v>56</v>
      </c>
      <c r="B5">
        <f>SUM(Monatsmodell!B15:M15)</f>
        <v>2560</v>
      </c>
      <c r="C5">
        <f>SUM(Monatsmodell!N15:Y15)</f>
        <v>0</v>
      </c>
    </row>
    <row r="6" spans="1:3" x14ac:dyDescent="0.3">
      <c r="A6" t="s">
        <v>59</v>
      </c>
      <c r="B6">
        <f>SUM(Monatsmodell!B18:M18)</f>
        <v>3840</v>
      </c>
      <c r="C6">
        <f>SUM(Monatsmodell!N18:Y18)</f>
        <v>0</v>
      </c>
    </row>
    <row r="7" spans="1:3" x14ac:dyDescent="0.3">
      <c r="A7" t="s">
        <v>62</v>
      </c>
      <c r="B7">
        <f>SUM(Monatsmodell!B21:M21)</f>
        <v>1584</v>
      </c>
      <c r="C7">
        <f>SUM(Monatsmodell!N21:Y21)</f>
        <v>0</v>
      </c>
    </row>
    <row r="8" spans="1:3" x14ac:dyDescent="0.3">
      <c r="A8" t="s">
        <v>73</v>
      </c>
      <c r="B8">
        <f>SUM(Monatsmodell!B25:M25)</f>
        <v>544.1</v>
      </c>
      <c r="C8">
        <f>SUM(Monatsmodell!N25:Y25)</f>
        <v>0</v>
      </c>
    </row>
    <row r="9" spans="1:3" x14ac:dyDescent="0.3">
      <c r="A9" t="s">
        <v>67</v>
      </c>
      <c r="B9">
        <f>SUM(Monatsmodell!B26:M26)</f>
        <v>1039.9000000000001</v>
      </c>
      <c r="C9">
        <f>SUM(Monatsmodell!N26:Y26)</f>
        <v>0</v>
      </c>
    </row>
    <row r="10" spans="1:3" x14ac:dyDescent="0.3">
      <c r="A10" t="s">
        <v>74</v>
      </c>
      <c r="B10">
        <f>B9/12</f>
        <v>86.658333333333346</v>
      </c>
      <c r="C10">
        <f>C9/12</f>
        <v>0</v>
      </c>
    </row>
    <row r="11" spans="1:3" x14ac:dyDescent="0.3">
      <c r="A11" t="s">
        <v>75</v>
      </c>
      <c r="B11" t="e">
        <f>B9/B2</f>
        <v>#DIV/0!</v>
      </c>
      <c r="C11" t="e">
        <f>C9/C2</f>
        <v>#DIV/0!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Assumptions</vt:lpstr>
      <vt:lpstr>Monatsmodell</vt:lpstr>
      <vt:lpstr>Jahresmodell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Frei</dc:creator>
  <cp:lastModifiedBy>Dominic Frei</cp:lastModifiedBy>
  <dcterms:created xsi:type="dcterms:W3CDTF">2025-11-03T08:41:56Z</dcterms:created>
  <dcterms:modified xsi:type="dcterms:W3CDTF">2025-11-03T08:55:10Z</dcterms:modified>
</cp:coreProperties>
</file>